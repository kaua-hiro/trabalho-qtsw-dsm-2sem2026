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  <sheet name="Regras" sheetId="2" state="visible" r:id="rId4"/>
    <sheet name="Classes e Limi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<sst xmlns="http://schemas.openxmlformats.org/spreadsheetml/2006/main" count="381" uniqueCount="196">
  <si>
    <t xml:space="preserve">Planilha de Testes de Sistema – Caso de Uso "Efetuar Pedido"</t>
  </si>
  <si>
    <t xml:space="preserve">Colunas K a P são o oráculo (calculadas por fórmula a partir das entradas E–J, conforme RN01, RN02 e RN03). Preencher S (Resultado obtido) e T (Situação) ao executar os testes.</t>
  </si>
  <si>
    <t xml:space="preserve">Identificação</t>
  </si>
  <si>
    <t xml:space="preserve">Condições de entrada</t>
  </si>
  <si>
    <t xml:space="preserve">Resultado esperado (oráculo)</t>
  </si>
  <si>
    <t xml:space="preserve">Execução</t>
  </si>
  <si>
    <t xml:space="preserve">ID</t>
  </si>
  <si>
    <t xml:space="preserve">Cenário / Caminho (GFC) / Sequência (GE)</t>
  </si>
  <si>
    <t xml:space="preserve">Critério</t>
  </si>
  <si>
    <t xml:space="preserve">Pré-condições</t>
  </si>
  <si>
    <t xml:space="preserve">Qtde de itens no carrinho</t>
  </si>
  <si>
    <t xml:space="preserve">Subtotal dos livros (R$)</t>
  </si>
  <si>
    <t xml:space="preserve">Tempo de vínculo (anos)</t>
  </si>
  <si>
    <t xml:space="preserve">UF de entrega</t>
  </si>
  <si>
    <t xml:space="preserve">Forma de pagamento</t>
  </si>
  <si>
    <t xml:space="preserve">Autorização do pagamento</t>
  </si>
  <si>
    <t xml:space="preserve">Perfil (RN01)</t>
  </si>
  <si>
    <t xml:space="preserve">% desconto (RN01)</t>
  </si>
  <si>
    <t xml:space="preserve">Valor do pedido (R$)</t>
  </si>
  <si>
    <t xml:space="preserve">% frete (RN02)</t>
  </si>
  <si>
    <t xml:space="preserve">Frete (R$)</t>
  </si>
  <si>
    <t xml:space="preserve">Total a pagar (R$)</t>
  </si>
  <si>
    <t xml:space="preserve">Status do pedido (RN04)</t>
  </si>
  <si>
    <t xml:space="preserve">Resultado esperado</t>
  </si>
  <si>
    <t xml:space="preserve">Resultado obtido</t>
  </si>
  <si>
    <t xml:space="preserve">Situação (Passou/Falhou)</t>
  </si>
  <si>
    <t xml:space="preserve">CT01</t>
  </si>
  <si>
    <t xml:space="preserve">C1 – fluxo principal: 1-3-5-8-9-11-12-14-16-17</t>
  </si>
  <si>
    <t xml:space="preserve">Cenário (GFC) / PCE classes válidas</t>
  </si>
  <si>
    <t xml:space="preserve">Cliente autenticado; ao menos 1 item no carrinho</t>
  </si>
  <si>
    <t xml:space="preserve">SP</t>
  </si>
  <si>
    <t xml:space="preserve">Cartão de crédito</t>
  </si>
  <si>
    <t xml:space="preserve">Autorizado</t>
  </si>
  <si>
    <t xml:space="preserve">Confirmado</t>
  </si>
  <si>
    <t xml:space="preserve">Pedido registrado; carrinho esvaziado; confirmação exibida</t>
  </si>
  <si>
    <t xml:space="preserve">CT02</t>
  </si>
  <si>
    <t xml:space="preserve">C2 – FE(2) carrinho vazio: 1-2-17</t>
  </si>
  <si>
    <t xml:space="preserve">Cenário (GFC) / PCE classe inválida / AVL (0 itens)</t>
  </si>
  <si>
    <t xml:space="preserve">Cliente autenticado; carrinho vazio</t>
  </si>
  <si>
    <t xml:space="preserve">—</t>
  </si>
  <si>
    <t xml:space="preserve">Não criado</t>
  </si>
  <si>
    <t xml:space="preserve">Mensagem: não é possível prosseguir com o pedido sem itens no carrinho</t>
  </si>
  <si>
    <t xml:space="preserve">CT03</t>
  </si>
  <si>
    <t xml:space="preserve">C3 – sem perfil (&lt; 1 ano): 1-3-4-8-9-11-12-14-16-17</t>
  </si>
  <si>
    <t xml:space="preserve">Cenário (GFC) / PCE</t>
  </si>
  <si>
    <t xml:space="preserve">RJ</t>
  </si>
  <si>
    <t xml:space="preserve">Sem desconto aplicado; pedido confirmado</t>
  </si>
  <si>
    <t xml:space="preserve">CT04</t>
  </si>
  <si>
    <t xml:space="preserve">C4 – perfil prata: 1-3-6-8-9-11-12-14-16-17</t>
  </si>
  <si>
    <t xml:space="preserve">MG</t>
  </si>
  <si>
    <t xml:space="preserve">Desconto de 5% aplicado; pedido confirmado</t>
  </si>
  <si>
    <t xml:space="preserve">CT05</t>
  </si>
  <si>
    <t xml:space="preserve">C5 – perfil ouro: 1-3-7-8-9-11-12-14-16-17</t>
  </si>
  <si>
    <t xml:space="preserve">ES</t>
  </si>
  <si>
    <t xml:space="preserve">Desconto de 10% aplicado; pedido confirmado</t>
  </si>
  <si>
    <t xml:space="preserve">CT06</t>
  </si>
  <si>
    <t xml:space="preserve">C6 – outra região: 1-3-5-8-10-11-12-14-16-17</t>
  </si>
  <si>
    <t xml:space="preserve">Cenário (GFC) / PCE (RN02)</t>
  </si>
  <si>
    <t xml:space="preserve">BA</t>
  </si>
  <si>
    <t xml:space="preserve">Frete de 10% aplicado; pedido confirmado</t>
  </si>
  <si>
    <t xml:space="preserve">CT07</t>
  </si>
  <si>
    <t xml:space="preserve">C7 – pagamento Pix: 1-3-5-8-9-11-13-14-16-17</t>
  </si>
  <si>
    <t xml:space="preserve">Cenário (GFC) / PCE (RN03)</t>
  </si>
  <si>
    <t xml:space="preserve">Pix</t>
  </si>
  <si>
    <t xml:space="preserve">Pagamento Pix confirmado pelo Sistema de Banco; pedido confirmado</t>
  </si>
  <si>
    <t xml:space="preserve">CT08</t>
  </si>
  <si>
    <t xml:space="preserve">C8 – FE(9) cartão não autorizado: 1-3-5-8-9-11-12-14-15-17</t>
  </si>
  <si>
    <t xml:space="preserve">Não autorizado</t>
  </si>
  <si>
    <t xml:space="preserve">Em processamento</t>
  </si>
  <si>
    <t xml:space="preserve">Mensagem: pagamento não autorizado; pedido pode ser cancelado após 2 dias</t>
  </si>
  <si>
    <t xml:space="preserve">CT09</t>
  </si>
  <si>
    <t xml:space="preserve">FE(9) Pix não autorizado: 1-3-5-8-9-11-13-14-15-17</t>
  </si>
  <si>
    <t xml:space="preserve">CT10</t>
  </si>
  <si>
    <t xml:space="preserve">RN01 – limite inferior de 'sem perfil'</t>
  </si>
  <si>
    <t xml:space="preserve">AVL</t>
  </si>
  <si>
    <t xml:space="preserve">Cliente recém-cadastrado: sem desconto</t>
  </si>
  <si>
    <t xml:space="preserve">CT11</t>
  </si>
  <si>
    <t xml:space="preserve">RN01 – limite superior de 'sem perfil'</t>
  </si>
  <si>
    <t xml:space="preserve">Sem desconto</t>
  </si>
  <si>
    <t xml:space="preserve">CT12</t>
  </si>
  <si>
    <t xml:space="preserve">RN01 – limite inferior bronze</t>
  </si>
  <si>
    <t xml:space="preserve">Perfil bronze: desconto 3%</t>
  </si>
  <si>
    <t xml:space="preserve">CT13</t>
  </si>
  <si>
    <t xml:space="preserve">RN01 – limite superior bronze</t>
  </si>
  <si>
    <t xml:space="preserve">CT14</t>
  </si>
  <si>
    <t xml:space="preserve">RN01 – limite inferior prata</t>
  </si>
  <si>
    <t xml:space="preserve">Perfil prata: desconto 5%</t>
  </si>
  <si>
    <t xml:space="preserve">CT15</t>
  </si>
  <si>
    <t xml:space="preserve">RN01 – limite superior prata</t>
  </si>
  <si>
    <t xml:space="preserve">CT16</t>
  </si>
  <si>
    <t xml:space="preserve">RN01 – limite inferior ouro</t>
  </si>
  <si>
    <t xml:space="preserve">Perfil ouro: desconto 10%</t>
  </si>
  <si>
    <t xml:space="preserve">CT17</t>
  </si>
  <si>
    <t xml:space="preserve">RN01 – tempo de vínculo inválido</t>
  </si>
  <si>
    <t xml:space="preserve">PCE classe inválida / AVL</t>
  </si>
  <si>
    <t xml:space="preserve">Sistema não identifica perfil e informa inconsistência no cadastro do cliente</t>
  </si>
  <si>
    <t xml:space="preserve">CT18</t>
  </si>
  <si>
    <t xml:space="preserve">RN02 – UF fora do Sudeste vizinha (PR)</t>
  </si>
  <si>
    <t xml:space="preserve">PCE classe válida</t>
  </si>
  <si>
    <t xml:space="preserve">PR</t>
  </si>
  <si>
    <t xml:space="preserve">Frete de 10% aplicado</t>
  </si>
  <si>
    <t xml:space="preserve">CT19</t>
  </si>
  <si>
    <t xml:space="preserve">RN02 – endereço inválido (UF inexistente)</t>
  </si>
  <si>
    <t xml:space="preserve">PCE classe inválida</t>
  </si>
  <si>
    <t xml:space="preserve">XX</t>
  </si>
  <si>
    <t xml:space="preserve">Sistema rejeita o endereço e solicita correção; frete não calculado</t>
  </si>
  <si>
    <t xml:space="preserve">CT20</t>
  </si>
  <si>
    <t xml:space="preserve">RN03 – forma de pagamento não aceita (boleto)</t>
  </si>
  <si>
    <t xml:space="preserve">Boleto</t>
  </si>
  <si>
    <t xml:space="preserve">Sistema não aceita a forma de pagamento; apenas cartão de crédito ou Pix</t>
  </si>
  <si>
    <t xml:space="preserve">CT21</t>
  </si>
  <si>
    <t xml:space="preserve">Carrinho – limite inferior válido (1 item)</t>
  </si>
  <si>
    <t xml:space="preserve">Pedido com um único livro é aceito</t>
  </si>
  <si>
    <t xml:space="preserve">CT22</t>
  </si>
  <si>
    <t xml:space="preserve">GE – SQ1: S0-t1-S1-t2-S2-t3-S3-t5-S5-t7-S6-t9-S7</t>
  </si>
  <si>
    <t xml:space="preserve">Estados e transições (GE)</t>
  </si>
  <si>
    <t xml:space="preserve">Criado → Em processamento → Confirmado → Entregue → Finalizado</t>
  </si>
  <si>
    <t xml:space="preserve">Pedido percorre o ciclo completo até Finalizado</t>
  </si>
  <si>
    <t xml:space="preserve">CT23</t>
  </si>
  <si>
    <t xml:space="preserve">GE – SQ2: S0-t1-S1-t2-S2-t4-S2-t6-S4-t8-S6-t9-S7</t>
  </si>
  <si>
    <t xml:space="preserve">Criado → Em processamento → Em processamento → Cancelado → Finalizado</t>
  </si>
  <si>
    <t xml:space="preserve">Após nova tentativa negada e 2 dias sem autorização, pedido é cancelado e finalizado</t>
  </si>
  <si>
    <t xml:space="preserve">CT24</t>
  </si>
  <si>
    <t xml:space="preserve">GE – SQ3: S0-t1-S1-t2-S2-t4-S2-t3-S3-t5-S5-t7-S6-t9-S7</t>
  </si>
  <si>
    <t xml:space="preserve">Não autorizado → Autorizado</t>
  </si>
  <si>
    <t xml:space="preserve">Criado → Em processamento → Em processamento → Confirmado → Entregue → Finalizado</t>
  </si>
  <si>
    <t xml:space="preserve">Nova tentativa autorizada dentro de 2 dias; pedido confirmado e entregue</t>
  </si>
  <si>
    <t xml:space="preserve">CT25</t>
  </si>
  <si>
    <t xml:space="preserve">GE – transição inválida: Cancelado → Confirmado</t>
  </si>
  <si>
    <t xml:space="preserve">Estados e transições (transição ilegal)</t>
  </si>
  <si>
    <t xml:space="preserve">Pedido com status Cancelado</t>
  </si>
  <si>
    <t xml:space="preserve">Cancelado (inalterado)</t>
  </si>
  <si>
    <t xml:space="preserve">Sistema rejeita a transição; status permanece Cancelado</t>
  </si>
  <si>
    <t xml:space="preserve">CT26</t>
  </si>
  <si>
    <t xml:space="preserve">GE – transição inválida: Criado → Entregue</t>
  </si>
  <si>
    <t xml:space="preserve">Pedido com status Criado</t>
  </si>
  <si>
    <t xml:space="preserve">Criado (inalterado)</t>
  </si>
  <si>
    <t xml:space="preserve">Sistema rejeita a transição; pedido só pode ser entregue após Confirmado</t>
  </si>
  <si>
    <t xml:space="preserve">CT27</t>
  </si>
  <si>
    <t xml:space="preserve">GE – transição inválida: Entregue → Cancelado</t>
  </si>
  <si>
    <t xml:space="preserve">Pedido com status Entregue</t>
  </si>
  <si>
    <t xml:space="preserve">Entregue (inalterado)</t>
  </si>
  <si>
    <t xml:space="preserve">Sistema rejeita o cancelamento de pedido já entregue</t>
  </si>
  <si>
    <t xml:space="preserve">Regras de negócio (redigidas com clareza) e premissas</t>
  </si>
  <si>
    <t xml:space="preserve">Regra</t>
  </si>
  <si>
    <t xml:space="preserve">Condição</t>
  </si>
  <si>
    <t xml:space="preserve">Valor</t>
  </si>
  <si>
    <t xml:space="preserve">RN01</t>
  </si>
  <si>
    <t xml:space="preserve">Desconto por perfil – fórmula usa estes valores</t>
  </si>
  <si>
    <t xml:space="preserve">Bronze: 1 ≤ tempo de vínculo &lt; 3 anos</t>
  </si>
  <si>
    <t xml:space="preserve">Prata: 3 ≤ tempo de vínculo ≤ 5 anos</t>
  </si>
  <si>
    <t xml:space="preserve">Ouro: tempo de vínculo &gt; 5 anos</t>
  </si>
  <si>
    <t xml:space="preserve">RN02</t>
  </si>
  <si>
    <t xml:space="preserve">Frete – percentual sobre o valor do pedido (já com desconto)</t>
  </si>
  <si>
    <t xml:space="preserve">Região Sudeste (SP, RJ, MG, ES)</t>
  </si>
  <si>
    <t xml:space="preserve">Demais regiões</t>
  </si>
  <si>
    <t xml:space="preserve">Premissas adotadas (o caso de uso não define):</t>
  </si>
  <si>
    <t xml:space="preserve">• RN01: cliente com menos de 1 ano de vínculo não tem perfil e não recebe desconto. O limite de 3 anos pertence ao perfil prata (faixas 1–3 e 3–5 se sobrepõem no texto original).</t>
  </si>
  <si>
    <t xml:space="preserve">• RN01: desconto aplicado sobre o subtotal dos livros → valor do pedido = subtotal × (1 − desconto).</t>
  </si>
  <si>
    <t xml:space="preserve">• RN02: frete calculado sobre o valor do pedido já com desconto. Total a pagar = valor do pedido + frete.</t>
  </si>
  <si>
    <t xml:space="preserve">• RN03: aceitas somente cartão de crédito (autorizado pelo Sistema de Cartão) e Pix (confirmado pelo Sistema de Banco).</t>
  </si>
  <si>
    <t xml:space="preserve">• RN04: pagamento autorizado → Confirmado; não autorizado → permanece Em processamento e é Cancelado após 2 dias sem autorização; Entregue e Cancelado levam a Finalizado.</t>
  </si>
  <si>
    <t xml:space="preserve">• Valores percentuais em amarelo podem ser alterados; a aba Casos de Teste recalcula o oráculo automaticamente.</t>
  </si>
  <si>
    <t xml:space="preserve">Partição em classes de equivalência e análise de valor limite</t>
  </si>
  <si>
    <t xml:space="preserve">Condição de entrada</t>
  </si>
  <si>
    <t xml:space="preserve">Classes válidas</t>
  </si>
  <si>
    <t xml:space="preserve">Classes inválidas</t>
  </si>
  <si>
    <t xml:space="preserve">Valores limite</t>
  </si>
  <si>
    <t xml:space="preserve">Casos de teste</t>
  </si>
  <si>
    <t xml:space="preserve">Itens no carrinho (pré-condição / FE 2)</t>
  </si>
  <si>
    <t xml:space="preserve">CV1: ≥ 1 item</t>
  </si>
  <si>
    <t xml:space="preserve">CI1: 0 itens (carrinho vazio)</t>
  </si>
  <si>
    <t xml:space="preserve">0 (inválido), 1 (válido)</t>
  </si>
  <si>
    <t xml:space="preserve">CT02, CT21</t>
  </si>
  <si>
    <t xml:space="preserve">Tempo de vínculo – RN01 (anos)</t>
  </si>
  <si>
    <t xml:space="preserve">CV2: 0 ≤ t &lt; 1 (sem desconto)
CV3: 1 ≤ t &lt; 3 (bronze, 3%)
CV4: 3 ≤ t ≤ 5 (prata, 5%)
CV5: t &gt; 5 (ouro, 10%)</t>
  </si>
  <si>
    <t xml:space="preserve">CI2: t &lt; 0 (cadastro inconsistente)</t>
  </si>
  <si>
    <t xml:space="preserve">-0,01; 0; 0,99; 1,00; 2,99; 3,00; 5,00; 5,01</t>
  </si>
  <si>
    <t xml:space="preserve">CT03–CT05, CT10–CT17</t>
  </si>
  <si>
    <t xml:space="preserve">UF de entrega – RN02</t>
  </si>
  <si>
    <t xml:space="preserve">CV6: Sudeste (SP, RJ, MG, ES) → 5%
CV7: demais UFs → 10%</t>
  </si>
  <si>
    <t xml:space="preserve">CI3: UF/CEP inexistente</t>
  </si>
  <si>
    <t xml:space="preserve">CT01, CT06, CT18, CT19</t>
  </si>
  <si>
    <t xml:space="preserve">Forma de pagamento – RN03</t>
  </si>
  <si>
    <t xml:space="preserve">CV8: cartão de crédito
CV9: Pix</t>
  </si>
  <si>
    <t xml:space="preserve">CI4: outra forma (ex.: boleto)</t>
  </si>
  <si>
    <t xml:space="preserve">CT01, CT07, CT20</t>
  </si>
  <si>
    <t xml:space="preserve">Autorização do pagamento – RN04</t>
  </si>
  <si>
    <t xml:space="preserve">CV10: autorizado → Confirmado</t>
  </si>
  <si>
    <t xml:space="preserve">CV11: não autorizado → Em processamento / Cancelado após 2 dias</t>
  </si>
  <si>
    <t xml:space="preserve">prazo: 2 dias</t>
  </si>
  <si>
    <t xml:space="preserve">CT08, CT09, CT23, CT24</t>
  </si>
  <si>
    <t xml:space="preserve">Transições de estado – RN04</t>
  </si>
  <si>
    <t xml:space="preserve">Transições t1–t9 do GE</t>
  </si>
  <si>
    <t xml:space="preserve">Transições não previstas (ex.: Cancelado→Confirmado, Criado→Entregue, Entregue→Cancelado)</t>
  </si>
  <si>
    <t xml:space="preserve">CT22–CT27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</si>
</sst>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0.00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22"/>
    <col collapsed="false" customWidth="true" hidden="false" outlineLevel="0" max="18" min="18" style="0" width="40"/>
    <col collapsed="false" customWidth="true" hidden="false" outlineLevel="0" max="19" min="19" style="0" width="24"/>
    <col collapsed="false" customWidth="true" hidden="false" outlineLevel="0" max="20" min="20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/>
      <c r="C3" s="3"/>
      <c r="D3" s="3"/>
      <c r="E3" s="3" t="s">
        <v>3</v>
      </c>
      <c r="F3" s="3"/>
      <c r="G3" s="3"/>
      <c r="H3" s="3"/>
      <c r="I3" s="3"/>
      <c r="J3" s="3"/>
      <c r="K3" s="4" t="s">
        <v>4</v>
      </c>
      <c r="L3" s="4"/>
      <c r="M3" s="4"/>
      <c r="N3" s="4"/>
      <c r="O3" s="4"/>
      <c r="P3" s="4"/>
      <c r="Q3" s="4"/>
      <c r="R3" s="4"/>
      <c r="S3" s="5" t="s">
        <v>5</v>
      </c>
      <c r="T3" s="5"/>
    </row>
    <row r="4" customFormat="false" ht="42" hidden="false" customHeight="true" outlineLevel="0" collapsed="false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  <c r="L4" s="6" t="s">
        <v>17</v>
      </c>
      <c r="M4" s="6" t="s">
        <v>18</v>
      </c>
      <c r="N4" s="6" t="s">
        <v>19</v>
      </c>
      <c r="O4" s="6" t="s">
        <v>20</v>
      </c>
      <c r="P4" s="6" t="s">
        <v>21</v>
      </c>
      <c r="Q4" s="6" t="s">
        <v>22</v>
      </c>
      <c r="R4" s="6" t="s">
        <v>23</v>
      </c>
      <c r="S4" s="6" t="s">
        <v>24</v>
      </c>
      <c r="T4" s="6" t="s">
        <v>25</v>
      </c>
    </row>
    <row r="5" customFormat="false" ht="22.35" hidden="false" customHeight="false" outlineLevel="0" collapsed="false">
      <c r="A5" s="7" t="s">
        <v>26</v>
      </c>
      <c r="B5" s="8" t="s">
        <v>27</v>
      </c>
      <c r="C5" s="8" t="s">
        <v>28</v>
      </c>
      <c r="D5" s="8" t="s">
        <v>29</v>
      </c>
      <c r="E5" s="9" t="n">
        <v>2</v>
      </c>
      <c r="F5" s="10" t="n">
        <v>200</v>
      </c>
      <c r="G5" s="11" t="n">
        <v>2</v>
      </c>
      <c r="H5" s="9" t="s">
        <v>30</v>
      </c>
      <c r="I5" s="9" t="s">
        <v>31</v>
      </c>
      <c r="J5" s="9" t="s">
        <v>32</v>
      </c>
      <c r="K5" s="7" t="str">
        <f aca="false">IF(G5&lt;1,"Sem perfil",IF(G5&lt;3,"Bronze",IF(G5&lt;=5,"Prata","Ouro")))</f>
        <v>Bronze</v>
      </c>
      <c r="L5" s="12" t="n">
        <f aca="false">IF(G5&lt;1,0,IF(G5&lt;3,Regras!$C$5,IF(G5&lt;=5,Regras!$C$6,Regras!$C$7)))</f>
        <v>0.03</v>
      </c>
      <c r="M5" s="13" t="n">
        <f aca="false">ROUND(F5*(1-L5),2)</f>
        <v>194</v>
      </c>
      <c r="N5" s="12" t="n">
        <f aca="false">IF(OR(H5="SP",H5="RJ",H5="MG",H5="ES"),Regras!$C$9,Regras!$C$10)</f>
        <v>0.05</v>
      </c>
      <c r="O5" s="13" t="n">
        <f aca="false">ROUND(M5*N5,2)</f>
        <v>9.7</v>
      </c>
      <c r="P5" s="13" t="n">
        <f aca="false">M5+O5</f>
        <v>203.7</v>
      </c>
      <c r="Q5" s="8" t="s">
        <v>33</v>
      </c>
      <c r="R5" s="8" t="s">
        <v>34</v>
      </c>
      <c r="S5" s="14"/>
      <c r="T5" s="15"/>
    </row>
    <row r="6" customFormat="false" ht="22.35" hidden="false" customHeight="false" outlineLevel="0" collapsed="false">
      <c r="A6" s="7" t="s">
        <v>35</v>
      </c>
      <c r="B6" s="8" t="s">
        <v>36</v>
      </c>
      <c r="C6" s="8" t="s">
        <v>37</v>
      </c>
      <c r="D6" s="8" t="s">
        <v>38</v>
      </c>
      <c r="E6" s="9" t="n">
        <v>0</v>
      </c>
      <c r="F6" s="10" t="n">
        <v>0</v>
      </c>
      <c r="G6" s="11" t="n">
        <v>2</v>
      </c>
      <c r="H6" s="9" t="s">
        <v>30</v>
      </c>
      <c r="I6" s="9" t="s">
        <v>39</v>
      </c>
      <c r="J6" s="9" t="s">
        <v>39</v>
      </c>
      <c r="K6" s="7" t="s">
        <v>39</v>
      </c>
      <c r="L6" s="12" t="s">
        <v>39</v>
      </c>
      <c r="M6" s="13" t="s">
        <v>39</v>
      </c>
      <c r="N6" s="12" t="s">
        <v>39</v>
      </c>
      <c r="O6" s="13" t="s">
        <v>39</v>
      </c>
      <c r="P6" s="13" t="s">
        <v>39</v>
      </c>
      <c r="Q6" s="8" t="s">
        <v>40</v>
      </c>
      <c r="R6" s="8" t="s">
        <v>41</v>
      </c>
      <c r="S6" s="14"/>
      <c r="T6" s="15"/>
    </row>
    <row r="7" customFormat="false" ht="22.35" hidden="false" customHeight="false" outlineLevel="0" collapsed="false">
      <c r="A7" s="7" t="s">
        <v>42</v>
      </c>
      <c r="B7" s="8" t="s">
        <v>43</v>
      </c>
      <c r="C7" s="8" t="s">
        <v>44</v>
      </c>
      <c r="D7" s="8" t="s">
        <v>29</v>
      </c>
      <c r="E7" s="9" t="n">
        <v>1</v>
      </c>
      <c r="F7" s="10" t="n">
        <v>150</v>
      </c>
      <c r="G7" s="11" t="n">
        <v>0.5</v>
      </c>
      <c r="H7" s="9" t="s">
        <v>45</v>
      </c>
      <c r="I7" s="9" t="s">
        <v>31</v>
      </c>
      <c r="J7" s="9" t="s">
        <v>32</v>
      </c>
      <c r="K7" s="7" t="str">
        <f aca="false">IF(G7&lt;1,"Sem perfil",IF(G7&lt;3,"Bronze",IF(G7&lt;=5,"Prata","Ouro")))</f>
        <v>Sem perfil</v>
      </c>
      <c r="L7" s="12" t="n">
        <f aca="false">IF(G7&lt;1,0,IF(G7&lt;3,Regras!$C$5,IF(G7&lt;=5,Regras!$C$6,Regras!$C$7)))</f>
        <v>0</v>
      </c>
      <c r="M7" s="13" t="n">
        <f aca="false">ROUND(F7*(1-L7),2)</f>
        <v>150</v>
      </c>
      <c r="N7" s="12" t="n">
        <f aca="false">IF(OR(H7="SP",H7="RJ",H7="MG",H7="ES"),Regras!$C$9,Regras!$C$10)</f>
        <v>0.05</v>
      </c>
      <c r="O7" s="13" t="n">
        <f aca="false">ROUND(M7*N7,2)</f>
        <v>7.5</v>
      </c>
      <c r="P7" s="13" t="n">
        <f aca="false">M7+O7</f>
        <v>157.5</v>
      </c>
      <c r="Q7" s="8" t="s">
        <v>33</v>
      </c>
      <c r="R7" s="8" t="s">
        <v>46</v>
      </c>
      <c r="S7" s="14"/>
      <c r="T7" s="15"/>
    </row>
    <row r="8" customFormat="false" ht="22.35" hidden="false" customHeight="false" outlineLevel="0" collapsed="false">
      <c r="A8" s="7" t="s">
        <v>47</v>
      </c>
      <c r="B8" s="8" t="s">
        <v>48</v>
      </c>
      <c r="C8" s="8" t="s">
        <v>44</v>
      </c>
      <c r="D8" s="8" t="s">
        <v>29</v>
      </c>
      <c r="E8" s="9" t="n">
        <v>3</v>
      </c>
      <c r="F8" s="10" t="n">
        <v>300</v>
      </c>
      <c r="G8" s="11" t="n">
        <v>4</v>
      </c>
      <c r="H8" s="9" t="s">
        <v>49</v>
      </c>
      <c r="I8" s="9" t="s">
        <v>31</v>
      </c>
      <c r="J8" s="9" t="s">
        <v>32</v>
      </c>
      <c r="K8" s="7" t="str">
        <f aca="false">IF(G8&lt;1,"Sem perfil",IF(G8&lt;3,"Bronze",IF(G8&lt;=5,"Prata","Ouro")))</f>
        <v>Prata</v>
      </c>
      <c r="L8" s="12" t="n">
        <f aca="false">IF(G8&lt;1,0,IF(G8&lt;3,Regras!$C$5,IF(G8&lt;=5,Regras!$C$6,Regras!$C$7)))</f>
        <v>0.05</v>
      </c>
      <c r="M8" s="13" t="n">
        <f aca="false">ROUND(F8*(1-L8),2)</f>
        <v>285</v>
      </c>
      <c r="N8" s="12" t="n">
        <f aca="false">IF(OR(H8="SP",H8="RJ",H8="MG",H8="ES"),Regras!$C$9,Regras!$C$10)</f>
        <v>0.05</v>
      </c>
      <c r="O8" s="13" t="n">
        <f aca="false">ROUND(M8*N8,2)</f>
        <v>14.25</v>
      </c>
      <c r="P8" s="13" t="n">
        <f aca="false">M8+O8</f>
        <v>299.25</v>
      </c>
      <c r="Q8" s="8" t="s">
        <v>33</v>
      </c>
      <c r="R8" s="8" t="s">
        <v>50</v>
      </c>
      <c r="S8" s="14"/>
      <c r="T8" s="15"/>
    </row>
    <row r="9" customFormat="false" ht="22.35" hidden="false" customHeight="false" outlineLevel="0" collapsed="false">
      <c r="A9" s="7" t="s">
        <v>51</v>
      </c>
      <c r="B9" s="8" t="s">
        <v>52</v>
      </c>
      <c r="C9" s="8" t="s">
        <v>44</v>
      </c>
      <c r="D9" s="8" t="s">
        <v>29</v>
      </c>
      <c r="E9" s="9" t="n">
        <v>1</v>
      </c>
      <c r="F9" s="10" t="n">
        <v>100</v>
      </c>
      <c r="G9" s="11" t="n">
        <v>8</v>
      </c>
      <c r="H9" s="9" t="s">
        <v>53</v>
      </c>
      <c r="I9" s="9" t="s">
        <v>31</v>
      </c>
      <c r="J9" s="9" t="s">
        <v>32</v>
      </c>
      <c r="K9" s="7" t="str">
        <f aca="false">IF(G9&lt;1,"Sem perfil",IF(G9&lt;3,"Bronze",IF(G9&lt;=5,"Prata","Ouro")))</f>
        <v>Ouro</v>
      </c>
      <c r="L9" s="12" t="n">
        <f aca="false">IF(G9&lt;1,0,IF(G9&lt;3,Regras!$C$5,IF(G9&lt;=5,Regras!$C$6,Regras!$C$7)))</f>
        <v>0.1</v>
      </c>
      <c r="M9" s="13" t="n">
        <f aca="false">ROUND(F9*(1-L9),2)</f>
        <v>90</v>
      </c>
      <c r="N9" s="12" t="n">
        <f aca="false">IF(OR(H9="SP",H9="RJ",H9="MG",H9="ES"),Regras!$C$9,Regras!$C$10)</f>
        <v>0.05</v>
      </c>
      <c r="O9" s="13" t="n">
        <f aca="false">ROUND(M9*N9,2)</f>
        <v>4.5</v>
      </c>
      <c r="P9" s="13" t="n">
        <f aca="false">M9+O9</f>
        <v>94.5</v>
      </c>
      <c r="Q9" s="8" t="s">
        <v>33</v>
      </c>
      <c r="R9" s="8" t="s">
        <v>54</v>
      </c>
      <c r="S9" s="14"/>
      <c r="T9" s="15"/>
    </row>
    <row r="10" customFormat="false" ht="22.35" hidden="false" customHeight="false" outlineLevel="0" collapsed="false">
      <c r="A10" s="7" t="s">
        <v>55</v>
      </c>
      <c r="B10" s="8" t="s">
        <v>56</v>
      </c>
      <c r="C10" s="8" t="s">
        <v>57</v>
      </c>
      <c r="D10" s="8" t="s">
        <v>29</v>
      </c>
      <c r="E10" s="9" t="n">
        <v>2</v>
      </c>
      <c r="F10" s="10" t="n">
        <v>200</v>
      </c>
      <c r="G10" s="11" t="n">
        <v>2</v>
      </c>
      <c r="H10" s="9" t="s">
        <v>58</v>
      </c>
      <c r="I10" s="9" t="s">
        <v>31</v>
      </c>
      <c r="J10" s="9" t="s">
        <v>32</v>
      </c>
      <c r="K10" s="7" t="str">
        <f aca="false">IF(G10&lt;1,"Sem perfil",IF(G10&lt;3,"Bronze",IF(G10&lt;=5,"Prata","Ouro")))</f>
        <v>Bronze</v>
      </c>
      <c r="L10" s="12" t="n">
        <f aca="false">IF(G10&lt;1,0,IF(G10&lt;3,Regras!$C$5,IF(G10&lt;=5,Regras!$C$6,Regras!$C$7)))</f>
        <v>0.03</v>
      </c>
      <c r="M10" s="13" t="n">
        <f aca="false">ROUND(F10*(1-L10),2)</f>
        <v>194</v>
      </c>
      <c r="N10" s="12" t="n">
        <f aca="false">IF(OR(H10="SP",H10="RJ",H10="MG",H10="ES"),Regras!$C$9,Regras!$C$10)</f>
        <v>0.1</v>
      </c>
      <c r="O10" s="13" t="n">
        <f aca="false">ROUND(M10*N10,2)</f>
        <v>19.4</v>
      </c>
      <c r="P10" s="13" t="n">
        <f aca="false">M10+O10</f>
        <v>213.4</v>
      </c>
      <c r="Q10" s="8" t="s">
        <v>33</v>
      </c>
      <c r="R10" s="8" t="s">
        <v>59</v>
      </c>
      <c r="S10" s="14"/>
      <c r="T10" s="15"/>
    </row>
    <row r="11" customFormat="false" ht="22.35" hidden="false" customHeight="false" outlineLevel="0" collapsed="false">
      <c r="A11" s="7" t="s">
        <v>60</v>
      </c>
      <c r="B11" s="8" t="s">
        <v>61</v>
      </c>
      <c r="C11" s="8" t="s">
        <v>62</v>
      </c>
      <c r="D11" s="8" t="s">
        <v>29</v>
      </c>
      <c r="E11" s="9" t="n">
        <v>2</v>
      </c>
      <c r="F11" s="10" t="n">
        <v>200</v>
      </c>
      <c r="G11" s="11" t="n">
        <v>2</v>
      </c>
      <c r="H11" s="9" t="s">
        <v>30</v>
      </c>
      <c r="I11" s="9" t="s">
        <v>63</v>
      </c>
      <c r="J11" s="9" t="s">
        <v>32</v>
      </c>
      <c r="K11" s="7" t="str">
        <f aca="false">IF(G11&lt;1,"Sem perfil",IF(G11&lt;3,"Bronze",IF(G11&lt;=5,"Prata","Ouro")))</f>
        <v>Bronze</v>
      </c>
      <c r="L11" s="12" t="n">
        <f aca="false">IF(G11&lt;1,0,IF(G11&lt;3,Regras!$C$5,IF(G11&lt;=5,Regras!$C$6,Regras!$C$7)))</f>
        <v>0.03</v>
      </c>
      <c r="M11" s="13" t="n">
        <f aca="false">ROUND(F11*(1-L11),2)</f>
        <v>194</v>
      </c>
      <c r="N11" s="12" t="n">
        <f aca="false">IF(OR(H11="SP",H11="RJ",H11="MG",H11="ES"),Regras!$C$9,Regras!$C$10)</f>
        <v>0.05</v>
      </c>
      <c r="O11" s="13" t="n">
        <f aca="false">ROUND(M11*N11,2)</f>
        <v>9.7</v>
      </c>
      <c r="P11" s="13" t="n">
        <f aca="false">M11+O11</f>
        <v>203.7</v>
      </c>
      <c r="Q11" s="8" t="s">
        <v>33</v>
      </c>
      <c r="R11" s="8" t="s">
        <v>64</v>
      </c>
      <c r="S11" s="14"/>
      <c r="T11" s="15"/>
    </row>
    <row r="12" customFormat="false" ht="22.35" hidden="false" customHeight="false" outlineLevel="0" collapsed="false">
      <c r="A12" s="7" t="s">
        <v>65</v>
      </c>
      <c r="B12" s="8" t="s">
        <v>66</v>
      </c>
      <c r="C12" s="8" t="s">
        <v>44</v>
      </c>
      <c r="D12" s="8" t="s">
        <v>29</v>
      </c>
      <c r="E12" s="9" t="n">
        <v>2</v>
      </c>
      <c r="F12" s="10" t="n">
        <v>200</v>
      </c>
      <c r="G12" s="11" t="n">
        <v>2</v>
      </c>
      <c r="H12" s="9" t="s">
        <v>30</v>
      </c>
      <c r="I12" s="9" t="s">
        <v>31</v>
      </c>
      <c r="J12" s="9" t="s">
        <v>67</v>
      </c>
      <c r="K12" s="7" t="str">
        <f aca="false">IF(G12&lt;1,"Sem perfil",IF(G12&lt;3,"Bronze",IF(G12&lt;=5,"Prata","Ouro")))</f>
        <v>Bronze</v>
      </c>
      <c r="L12" s="12" t="n">
        <f aca="false">IF(G12&lt;1,0,IF(G12&lt;3,Regras!$C$5,IF(G12&lt;=5,Regras!$C$6,Regras!$C$7)))</f>
        <v>0.03</v>
      </c>
      <c r="M12" s="13" t="n">
        <f aca="false">ROUND(F12*(1-L12),2)</f>
        <v>194</v>
      </c>
      <c r="N12" s="12" t="n">
        <f aca="false">IF(OR(H12="SP",H12="RJ",H12="MG",H12="ES"),Regras!$C$9,Regras!$C$10)</f>
        <v>0.05</v>
      </c>
      <c r="O12" s="13" t="n">
        <f aca="false">ROUND(M12*N12,2)</f>
        <v>9.7</v>
      </c>
      <c r="P12" s="13" t="n">
        <f aca="false">M12+O12</f>
        <v>203.7</v>
      </c>
      <c r="Q12" s="8" t="s">
        <v>68</v>
      </c>
      <c r="R12" s="8" t="s">
        <v>69</v>
      </c>
      <c r="S12" s="14"/>
      <c r="T12" s="15"/>
    </row>
    <row r="13" customFormat="false" ht="22.35" hidden="false" customHeight="false" outlineLevel="0" collapsed="false">
      <c r="A13" s="7" t="s">
        <v>70</v>
      </c>
      <c r="B13" s="8" t="s">
        <v>71</v>
      </c>
      <c r="C13" s="8" t="s">
        <v>44</v>
      </c>
      <c r="D13" s="8" t="s">
        <v>29</v>
      </c>
      <c r="E13" s="9" t="n">
        <v>2</v>
      </c>
      <c r="F13" s="10" t="n">
        <v>200</v>
      </c>
      <c r="G13" s="11" t="n">
        <v>2</v>
      </c>
      <c r="H13" s="9" t="s">
        <v>30</v>
      </c>
      <c r="I13" s="9" t="s">
        <v>63</v>
      </c>
      <c r="J13" s="9" t="s">
        <v>67</v>
      </c>
      <c r="K13" s="7" t="str">
        <f aca="false">IF(G13&lt;1,"Sem perfil",IF(G13&lt;3,"Bronze",IF(G13&lt;=5,"Prata","Ouro")))</f>
        <v>Bronze</v>
      </c>
      <c r="L13" s="12" t="n">
        <f aca="false">IF(G13&lt;1,0,IF(G13&lt;3,Regras!$C$5,IF(G13&lt;=5,Regras!$C$6,Regras!$C$7)))</f>
        <v>0.03</v>
      </c>
      <c r="M13" s="13" t="n">
        <f aca="false">ROUND(F13*(1-L13),2)</f>
        <v>194</v>
      </c>
      <c r="N13" s="12" t="n">
        <f aca="false">IF(OR(H13="SP",H13="RJ",H13="MG",H13="ES"),Regras!$C$9,Regras!$C$10)</f>
        <v>0.05</v>
      </c>
      <c r="O13" s="13" t="n">
        <f aca="false">ROUND(M13*N13,2)</f>
        <v>9.7</v>
      </c>
      <c r="P13" s="13" t="n">
        <f aca="false">M13+O13</f>
        <v>203.7</v>
      </c>
      <c r="Q13" s="8" t="s">
        <v>68</v>
      </c>
      <c r="R13" s="8" t="s">
        <v>69</v>
      </c>
      <c r="S13" s="14"/>
      <c r="T13" s="15"/>
    </row>
    <row r="14" customFormat="false" ht="22.35" hidden="false" customHeight="false" outlineLevel="0" collapsed="false">
      <c r="A14" s="7" t="s">
        <v>72</v>
      </c>
      <c r="B14" s="8" t="s">
        <v>73</v>
      </c>
      <c r="C14" s="8" t="s">
        <v>74</v>
      </c>
      <c r="D14" s="8" t="s">
        <v>29</v>
      </c>
      <c r="E14" s="9" t="n">
        <v>1</v>
      </c>
      <c r="F14" s="10" t="n">
        <v>100</v>
      </c>
      <c r="G14" s="11" t="n">
        <v>0</v>
      </c>
      <c r="H14" s="9" t="s">
        <v>30</v>
      </c>
      <c r="I14" s="9" t="s">
        <v>31</v>
      </c>
      <c r="J14" s="9" t="s">
        <v>32</v>
      </c>
      <c r="K14" s="7" t="str">
        <f aca="false">IF(G14&lt;1,"Sem perfil",IF(G14&lt;3,"Bronze",IF(G14&lt;=5,"Prata","Ouro")))</f>
        <v>Sem perfil</v>
      </c>
      <c r="L14" s="12" t="n">
        <f aca="false">IF(G14&lt;1,0,IF(G14&lt;3,Regras!$C$5,IF(G14&lt;=5,Regras!$C$6,Regras!$C$7)))</f>
        <v>0</v>
      </c>
      <c r="M14" s="13" t="n">
        <f aca="false">ROUND(F14*(1-L14),2)</f>
        <v>100</v>
      </c>
      <c r="N14" s="12" t="n">
        <f aca="false">IF(OR(H14="SP",H14="RJ",H14="MG",H14="ES"),Regras!$C$9,Regras!$C$10)</f>
        <v>0.05</v>
      </c>
      <c r="O14" s="13" t="n">
        <f aca="false">ROUND(M14*N14,2)</f>
        <v>5</v>
      </c>
      <c r="P14" s="13" t="n">
        <f aca="false">M14+O14</f>
        <v>105</v>
      </c>
      <c r="Q14" s="8" t="s">
        <v>33</v>
      </c>
      <c r="R14" s="8" t="s">
        <v>75</v>
      </c>
      <c r="S14" s="14"/>
      <c r="T14" s="15"/>
    </row>
    <row r="15" customFormat="false" ht="22.35" hidden="false" customHeight="false" outlineLevel="0" collapsed="false">
      <c r="A15" s="7" t="s">
        <v>76</v>
      </c>
      <c r="B15" s="8" t="s">
        <v>77</v>
      </c>
      <c r="C15" s="8" t="s">
        <v>74</v>
      </c>
      <c r="D15" s="8" t="s">
        <v>29</v>
      </c>
      <c r="E15" s="9" t="n">
        <v>1</v>
      </c>
      <c r="F15" s="10" t="n">
        <v>100</v>
      </c>
      <c r="G15" s="11" t="n">
        <v>0.99</v>
      </c>
      <c r="H15" s="9" t="s">
        <v>30</v>
      </c>
      <c r="I15" s="9" t="s">
        <v>31</v>
      </c>
      <c r="J15" s="9" t="s">
        <v>32</v>
      </c>
      <c r="K15" s="7" t="str">
        <f aca="false">IF(G15&lt;1,"Sem perfil",IF(G15&lt;3,"Bronze",IF(G15&lt;=5,"Prata","Ouro")))</f>
        <v>Sem perfil</v>
      </c>
      <c r="L15" s="12" t="n">
        <f aca="false">IF(G15&lt;1,0,IF(G15&lt;3,Regras!$C$5,IF(G15&lt;=5,Regras!$C$6,Regras!$C$7)))</f>
        <v>0</v>
      </c>
      <c r="M15" s="13" t="n">
        <f aca="false">ROUND(F15*(1-L15),2)</f>
        <v>100</v>
      </c>
      <c r="N15" s="12" t="n">
        <f aca="false">IF(OR(H15="SP",H15="RJ",H15="MG",H15="ES"),Regras!$C$9,Regras!$C$10)</f>
        <v>0.05</v>
      </c>
      <c r="O15" s="13" t="n">
        <f aca="false">ROUND(M15*N15,2)</f>
        <v>5</v>
      </c>
      <c r="P15" s="13" t="n">
        <f aca="false">M15+O15</f>
        <v>105</v>
      </c>
      <c r="Q15" s="8" t="s">
        <v>33</v>
      </c>
      <c r="R15" s="8" t="s">
        <v>78</v>
      </c>
      <c r="S15" s="14"/>
      <c r="T15" s="15"/>
    </row>
    <row r="16" customFormat="false" ht="22.35" hidden="false" customHeight="false" outlineLevel="0" collapsed="false">
      <c r="A16" s="7" t="s">
        <v>79</v>
      </c>
      <c r="B16" s="8" t="s">
        <v>80</v>
      </c>
      <c r="C16" s="8" t="s">
        <v>74</v>
      </c>
      <c r="D16" s="8" t="s">
        <v>29</v>
      </c>
      <c r="E16" s="9" t="n">
        <v>1</v>
      </c>
      <c r="F16" s="10" t="n">
        <v>100</v>
      </c>
      <c r="G16" s="11" t="n">
        <v>1</v>
      </c>
      <c r="H16" s="9" t="s">
        <v>30</v>
      </c>
      <c r="I16" s="9" t="s">
        <v>31</v>
      </c>
      <c r="J16" s="9" t="s">
        <v>32</v>
      </c>
      <c r="K16" s="7" t="str">
        <f aca="false">IF(G16&lt;1,"Sem perfil",IF(G16&lt;3,"Bronze",IF(G16&lt;=5,"Prata","Ouro")))</f>
        <v>Bronze</v>
      </c>
      <c r="L16" s="12" t="n">
        <f aca="false">IF(G16&lt;1,0,IF(G16&lt;3,Regras!$C$5,IF(G16&lt;=5,Regras!$C$6,Regras!$C$7)))</f>
        <v>0.03</v>
      </c>
      <c r="M16" s="13" t="n">
        <f aca="false">ROUND(F16*(1-L16),2)</f>
        <v>97</v>
      </c>
      <c r="N16" s="12" t="n">
        <f aca="false">IF(OR(H16="SP",H16="RJ",H16="MG",H16="ES"),Regras!$C$9,Regras!$C$10)</f>
        <v>0.05</v>
      </c>
      <c r="O16" s="13" t="n">
        <f aca="false">ROUND(M16*N16,2)</f>
        <v>4.85</v>
      </c>
      <c r="P16" s="13" t="n">
        <f aca="false">M16+O16</f>
        <v>101.85</v>
      </c>
      <c r="Q16" s="8" t="s">
        <v>33</v>
      </c>
      <c r="R16" s="8" t="s">
        <v>81</v>
      </c>
      <c r="S16" s="14"/>
      <c r="T16" s="15"/>
    </row>
    <row r="17" customFormat="false" ht="22.35" hidden="false" customHeight="false" outlineLevel="0" collapsed="false">
      <c r="A17" s="7" t="s">
        <v>82</v>
      </c>
      <c r="B17" s="8" t="s">
        <v>83</v>
      </c>
      <c r="C17" s="8" t="s">
        <v>74</v>
      </c>
      <c r="D17" s="8" t="s">
        <v>29</v>
      </c>
      <c r="E17" s="9" t="n">
        <v>1</v>
      </c>
      <c r="F17" s="10" t="n">
        <v>100</v>
      </c>
      <c r="G17" s="11" t="n">
        <v>2.99</v>
      </c>
      <c r="H17" s="9" t="s">
        <v>30</v>
      </c>
      <c r="I17" s="9" t="s">
        <v>31</v>
      </c>
      <c r="J17" s="9" t="s">
        <v>32</v>
      </c>
      <c r="K17" s="7" t="str">
        <f aca="false">IF(G17&lt;1,"Sem perfil",IF(G17&lt;3,"Bronze",IF(G17&lt;=5,"Prata","Ouro")))</f>
        <v>Bronze</v>
      </c>
      <c r="L17" s="12" t="n">
        <f aca="false">IF(G17&lt;1,0,IF(G17&lt;3,Regras!$C$5,IF(G17&lt;=5,Regras!$C$6,Regras!$C$7)))</f>
        <v>0.03</v>
      </c>
      <c r="M17" s="13" t="n">
        <f aca="false">ROUND(F17*(1-L17),2)</f>
        <v>97</v>
      </c>
      <c r="N17" s="12" t="n">
        <f aca="false">IF(OR(H17="SP",H17="RJ",H17="MG",H17="ES"),Regras!$C$9,Regras!$C$10)</f>
        <v>0.05</v>
      </c>
      <c r="O17" s="13" t="n">
        <f aca="false">ROUND(M17*N17,2)</f>
        <v>4.85</v>
      </c>
      <c r="P17" s="13" t="n">
        <f aca="false">M17+O17</f>
        <v>101.85</v>
      </c>
      <c r="Q17" s="8" t="s">
        <v>33</v>
      </c>
      <c r="R17" s="8" t="s">
        <v>81</v>
      </c>
      <c r="S17" s="14"/>
      <c r="T17" s="15"/>
    </row>
    <row r="18" customFormat="false" ht="22.35" hidden="false" customHeight="false" outlineLevel="0" collapsed="false">
      <c r="A18" s="7" t="s">
        <v>84</v>
      </c>
      <c r="B18" s="8" t="s">
        <v>85</v>
      </c>
      <c r="C18" s="8" t="s">
        <v>74</v>
      </c>
      <c r="D18" s="8" t="s">
        <v>29</v>
      </c>
      <c r="E18" s="9" t="n">
        <v>1</v>
      </c>
      <c r="F18" s="10" t="n">
        <v>100</v>
      </c>
      <c r="G18" s="11" t="n">
        <v>3</v>
      </c>
      <c r="H18" s="9" t="s">
        <v>30</v>
      </c>
      <c r="I18" s="9" t="s">
        <v>31</v>
      </c>
      <c r="J18" s="9" t="s">
        <v>32</v>
      </c>
      <c r="K18" s="7" t="str">
        <f aca="false">IF(G18&lt;1,"Sem perfil",IF(G18&lt;3,"Bronze",IF(G18&lt;=5,"Prata","Ouro")))</f>
        <v>Prata</v>
      </c>
      <c r="L18" s="12" t="n">
        <f aca="false">IF(G18&lt;1,0,IF(G18&lt;3,Regras!$C$5,IF(G18&lt;=5,Regras!$C$6,Regras!$C$7)))</f>
        <v>0.05</v>
      </c>
      <c r="M18" s="13" t="n">
        <f aca="false">ROUND(F18*(1-L18),2)</f>
        <v>95</v>
      </c>
      <c r="N18" s="12" t="n">
        <f aca="false">IF(OR(H18="SP",H18="RJ",H18="MG",H18="ES"),Regras!$C$9,Regras!$C$10)</f>
        <v>0.05</v>
      </c>
      <c r="O18" s="13" t="n">
        <f aca="false">ROUND(M18*N18,2)</f>
        <v>4.75</v>
      </c>
      <c r="P18" s="13" t="n">
        <f aca="false">M18+O18</f>
        <v>99.75</v>
      </c>
      <c r="Q18" s="8" t="s">
        <v>33</v>
      </c>
      <c r="R18" s="8" t="s">
        <v>86</v>
      </c>
      <c r="S18" s="14"/>
      <c r="T18" s="15"/>
    </row>
    <row r="19" customFormat="false" ht="22.35" hidden="false" customHeight="false" outlineLevel="0" collapsed="false">
      <c r="A19" s="7" t="s">
        <v>87</v>
      </c>
      <c r="B19" s="8" t="s">
        <v>88</v>
      </c>
      <c r="C19" s="8" t="s">
        <v>74</v>
      </c>
      <c r="D19" s="8" t="s">
        <v>29</v>
      </c>
      <c r="E19" s="9" t="n">
        <v>1</v>
      </c>
      <c r="F19" s="10" t="n">
        <v>100</v>
      </c>
      <c r="G19" s="11" t="n">
        <v>5</v>
      </c>
      <c r="H19" s="9" t="s">
        <v>30</v>
      </c>
      <c r="I19" s="9" t="s">
        <v>31</v>
      </c>
      <c r="J19" s="9" t="s">
        <v>32</v>
      </c>
      <c r="K19" s="7" t="str">
        <f aca="false">IF(G19&lt;1,"Sem perfil",IF(G19&lt;3,"Bronze",IF(G19&lt;=5,"Prata","Ouro")))</f>
        <v>Prata</v>
      </c>
      <c r="L19" s="12" t="n">
        <f aca="false">IF(G19&lt;1,0,IF(G19&lt;3,Regras!$C$5,IF(G19&lt;=5,Regras!$C$6,Regras!$C$7)))</f>
        <v>0.05</v>
      </c>
      <c r="M19" s="13" t="n">
        <f aca="false">ROUND(F19*(1-L19),2)</f>
        <v>95</v>
      </c>
      <c r="N19" s="12" t="n">
        <f aca="false">IF(OR(H19="SP",H19="RJ",H19="MG",H19="ES"),Regras!$C$9,Regras!$C$10)</f>
        <v>0.05</v>
      </c>
      <c r="O19" s="13" t="n">
        <f aca="false">ROUND(M19*N19,2)</f>
        <v>4.75</v>
      </c>
      <c r="P19" s="13" t="n">
        <f aca="false">M19+O19</f>
        <v>99.75</v>
      </c>
      <c r="Q19" s="8" t="s">
        <v>33</v>
      </c>
      <c r="R19" s="8" t="s">
        <v>86</v>
      </c>
      <c r="S19" s="14"/>
      <c r="T19" s="15"/>
    </row>
    <row r="20" customFormat="false" ht="22.35" hidden="false" customHeight="false" outlineLevel="0" collapsed="false">
      <c r="A20" s="7" t="s">
        <v>89</v>
      </c>
      <c r="B20" s="8" t="s">
        <v>90</v>
      </c>
      <c r="C20" s="8" t="s">
        <v>74</v>
      </c>
      <c r="D20" s="8" t="s">
        <v>29</v>
      </c>
      <c r="E20" s="9" t="n">
        <v>1</v>
      </c>
      <c r="F20" s="10" t="n">
        <v>100</v>
      </c>
      <c r="G20" s="11" t="n">
        <v>5.01</v>
      </c>
      <c r="H20" s="9" t="s">
        <v>30</v>
      </c>
      <c r="I20" s="9" t="s">
        <v>31</v>
      </c>
      <c r="J20" s="9" t="s">
        <v>32</v>
      </c>
      <c r="K20" s="7" t="str">
        <f aca="false">IF(G20&lt;1,"Sem perfil",IF(G20&lt;3,"Bronze",IF(G20&lt;=5,"Prata","Ouro")))</f>
        <v>Ouro</v>
      </c>
      <c r="L20" s="12" t="n">
        <f aca="false">IF(G20&lt;1,0,IF(G20&lt;3,Regras!$C$5,IF(G20&lt;=5,Regras!$C$6,Regras!$C$7)))</f>
        <v>0.1</v>
      </c>
      <c r="M20" s="13" t="n">
        <f aca="false">ROUND(F20*(1-L20),2)</f>
        <v>90</v>
      </c>
      <c r="N20" s="12" t="n">
        <f aca="false">IF(OR(H20="SP",H20="RJ",H20="MG",H20="ES"),Regras!$C$9,Regras!$C$10)</f>
        <v>0.05</v>
      </c>
      <c r="O20" s="13" t="n">
        <f aca="false">ROUND(M20*N20,2)</f>
        <v>4.5</v>
      </c>
      <c r="P20" s="13" t="n">
        <f aca="false">M20+O20</f>
        <v>94.5</v>
      </c>
      <c r="Q20" s="8" t="s">
        <v>33</v>
      </c>
      <c r="R20" s="8" t="s">
        <v>91</v>
      </c>
      <c r="S20" s="14"/>
      <c r="T20" s="15"/>
    </row>
    <row r="21" customFormat="false" ht="22.35" hidden="false" customHeight="false" outlineLevel="0" collapsed="false">
      <c r="A21" s="7" t="s">
        <v>92</v>
      </c>
      <c r="B21" s="8" t="s">
        <v>93</v>
      </c>
      <c r="C21" s="8" t="s">
        <v>94</v>
      </c>
      <c r="D21" s="8" t="s">
        <v>29</v>
      </c>
      <c r="E21" s="9" t="n">
        <v>1</v>
      </c>
      <c r="F21" s="10" t="n">
        <v>100</v>
      </c>
      <c r="G21" s="11" t="n">
        <v>-0.01</v>
      </c>
      <c r="H21" s="9" t="s">
        <v>30</v>
      </c>
      <c r="I21" s="9" t="s">
        <v>39</v>
      </c>
      <c r="J21" s="9" t="s">
        <v>39</v>
      </c>
      <c r="K21" s="7" t="s">
        <v>39</v>
      </c>
      <c r="L21" s="12" t="s">
        <v>39</v>
      </c>
      <c r="M21" s="13" t="s">
        <v>39</v>
      </c>
      <c r="N21" s="12" t="s">
        <v>39</v>
      </c>
      <c r="O21" s="13" t="s">
        <v>39</v>
      </c>
      <c r="P21" s="13" t="s">
        <v>39</v>
      </c>
      <c r="Q21" s="8" t="s">
        <v>40</v>
      </c>
      <c r="R21" s="8" t="s">
        <v>95</v>
      </c>
      <c r="S21" s="14"/>
      <c r="T21" s="15"/>
    </row>
    <row r="22" customFormat="false" ht="22.35" hidden="false" customHeight="false" outlineLevel="0" collapsed="false">
      <c r="A22" s="7" t="s">
        <v>96</v>
      </c>
      <c r="B22" s="8" t="s">
        <v>97</v>
      </c>
      <c r="C22" s="8" t="s">
        <v>98</v>
      </c>
      <c r="D22" s="8" t="s">
        <v>29</v>
      </c>
      <c r="E22" s="9" t="n">
        <v>1</v>
      </c>
      <c r="F22" s="10" t="n">
        <v>100</v>
      </c>
      <c r="G22" s="11" t="n">
        <v>2</v>
      </c>
      <c r="H22" s="9" t="s">
        <v>99</v>
      </c>
      <c r="I22" s="9" t="s">
        <v>63</v>
      </c>
      <c r="J22" s="9" t="s">
        <v>32</v>
      </c>
      <c r="K22" s="7" t="str">
        <f aca="false">IF(G22&lt;1,"Sem perfil",IF(G22&lt;3,"Bronze",IF(G22&lt;=5,"Prata","Ouro")))</f>
        <v>Bronze</v>
      </c>
      <c r="L22" s="12" t="n">
        <f aca="false">IF(G22&lt;1,0,IF(G22&lt;3,Regras!$C$5,IF(G22&lt;=5,Regras!$C$6,Regras!$C$7)))</f>
        <v>0.03</v>
      </c>
      <c r="M22" s="13" t="n">
        <f aca="false">ROUND(F22*(1-L22),2)</f>
        <v>97</v>
      </c>
      <c r="N22" s="12" t="n">
        <f aca="false">IF(OR(H22="SP",H22="RJ",H22="MG",H22="ES"),Regras!$C$9,Regras!$C$10)</f>
        <v>0.1</v>
      </c>
      <c r="O22" s="13" t="n">
        <f aca="false">ROUND(M22*N22,2)</f>
        <v>9.7</v>
      </c>
      <c r="P22" s="13" t="n">
        <f aca="false">M22+O22</f>
        <v>106.7</v>
      </c>
      <c r="Q22" s="8" t="s">
        <v>33</v>
      </c>
      <c r="R22" s="8" t="s">
        <v>100</v>
      </c>
      <c r="S22" s="14"/>
      <c r="T22" s="15"/>
    </row>
    <row r="23" customFormat="false" ht="22.35" hidden="false" customHeight="false" outlineLevel="0" collapsed="false">
      <c r="A23" s="7" t="s">
        <v>101</v>
      </c>
      <c r="B23" s="8" t="s">
        <v>102</v>
      </c>
      <c r="C23" s="8" t="s">
        <v>103</v>
      </c>
      <c r="D23" s="8" t="s">
        <v>29</v>
      </c>
      <c r="E23" s="9" t="n">
        <v>1</v>
      </c>
      <c r="F23" s="10" t="n">
        <v>100</v>
      </c>
      <c r="G23" s="11" t="n">
        <v>2</v>
      </c>
      <c r="H23" s="9" t="s">
        <v>104</v>
      </c>
      <c r="I23" s="9" t="s">
        <v>39</v>
      </c>
      <c r="J23" s="9" t="s">
        <v>39</v>
      </c>
      <c r="K23" s="7" t="s">
        <v>39</v>
      </c>
      <c r="L23" s="12" t="s">
        <v>39</v>
      </c>
      <c r="M23" s="13" t="s">
        <v>39</v>
      </c>
      <c r="N23" s="12" t="s">
        <v>39</v>
      </c>
      <c r="O23" s="13" t="s">
        <v>39</v>
      </c>
      <c r="P23" s="13" t="s">
        <v>39</v>
      </c>
      <c r="Q23" s="8" t="s">
        <v>40</v>
      </c>
      <c r="R23" s="8" t="s">
        <v>105</v>
      </c>
      <c r="S23" s="14"/>
      <c r="T23" s="15"/>
    </row>
    <row r="24" customFormat="false" ht="22.35" hidden="false" customHeight="false" outlineLevel="0" collapsed="false">
      <c r="A24" s="7" t="s">
        <v>106</v>
      </c>
      <c r="B24" s="8" t="s">
        <v>107</v>
      </c>
      <c r="C24" s="8" t="s">
        <v>103</v>
      </c>
      <c r="D24" s="8" t="s">
        <v>29</v>
      </c>
      <c r="E24" s="9" t="n">
        <v>1</v>
      </c>
      <c r="F24" s="10" t="n">
        <v>100</v>
      </c>
      <c r="G24" s="11" t="n">
        <v>2</v>
      </c>
      <c r="H24" s="9" t="s">
        <v>30</v>
      </c>
      <c r="I24" s="9" t="s">
        <v>108</v>
      </c>
      <c r="J24" s="9" t="s">
        <v>39</v>
      </c>
      <c r="K24" s="7" t="s">
        <v>39</v>
      </c>
      <c r="L24" s="12" t="s">
        <v>39</v>
      </c>
      <c r="M24" s="13" t="s">
        <v>39</v>
      </c>
      <c r="N24" s="12" t="s">
        <v>39</v>
      </c>
      <c r="O24" s="13" t="s">
        <v>39</v>
      </c>
      <c r="P24" s="13" t="s">
        <v>39</v>
      </c>
      <c r="Q24" s="8" t="s">
        <v>40</v>
      </c>
      <c r="R24" s="8" t="s">
        <v>109</v>
      </c>
      <c r="S24" s="14"/>
      <c r="T24" s="15"/>
    </row>
    <row r="25" customFormat="false" ht="22.35" hidden="false" customHeight="false" outlineLevel="0" collapsed="false">
      <c r="A25" s="7" t="s">
        <v>110</v>
      </c>
      <c r="B25" s="8" t="s">
        <v>111</v>
      </c>
      <c r="C25" s="8" t="s">
        <v>74</v>
      </c>
      <c r="D25" s="8" t="s">
        <v>29</v>
      </c>
      <c r="E25" s="9" t="n">
        <v>1</v>
      </c>
      <c r="F25" s="10" t="n">
        <v>39.9</v>
      </c>
      <c r="G25" s="11" t="n">
        <v>2</v>
      </c>
      <c r="H25" s="9" t="s">
        <v>30</v>
      </c>
      <c r="I25" s="9" t="s">
        <v>63</v>
      </c>
      <c r="J25" s="9" t="s">
        <v>32</v>
      </c>
      <c r="K25" s="7" t="str">
        <f aca="false">IF(G25&lt;1,"Sem perfil",IF(G25&lt;3,"Bronze",IF(G25&lt;=5,"Prata","Ouro")))</f>
        <v>Bronze</v>
      </c>
      <c r="L25" s="12" t="n">
        <f aca="false">IF(G25&lt;1,0,IF(G25&lt;3,Regras!$C$5,IF(G25&lt;=5,Regras!$C$6,Regras!$C$7)))</f>
        <v>0.03</v>
      </c>
      <c r="M25" s="13" t="n">
        <f aca="false">ROUND(F25*(1-L25),2)</f>
        <v>38.7</v>
      </c>
      <c r="N25" s="12" t="n">
        <f aca="false">IF(OR(H25="SP",H25="RJ",H25="MG",H25="ES"),Regras!$C$9,Regras!$C$10)</f>
        <v>0.05</v>
      </c>
      <c r="O25" s="13" t="n">
        <f aca="false">ROUND(M25*N25,2)</f>
        <v>1.94</v>
      </c>
      <c r="P25" s="13" t="n">
        <f aca="false">M25+O25</f>
        <v>40.64</v>
      </c>
      <c r="Q25" s="8" t="s">
        <v>33</v>
      </c>
      <c r="R25" s="8" t="s">
        <v>112</v>
      </c>
      <c r="S25" s="14"/>
      <c r="T25" s="15"/>
    </row>
    <row r="26" customFormat="false" ht="43.25" hidden="false" customHeight="false" outlineLevel="0" collapsed="false">
      <c r="A26" s="7" t="s">
        <v>113</v>
      </c>
      <c r="B26" s="8" t="s">
        <v>114</v>
      </c>
      <c r="C26" s="8" t="s">
        <v>115</v>
      </c>
      <c r="D26" s="8" t="s">
        <v>29</v>
      </c>
      <c r="E26" s="9" t="n">
        <v>2</v>
      </c>
      <c r="F26" s="10" t="n">
        <v>200</v>
      </c>
      <c r="G26" s="11" t="n">
        <v>2</v>
      </c>
      <c r="H26" s="9" t="s">
        <v>30</v>
      </c>
      <c r="I26" s="9" t="s">
        <v>31</v>
      </c>
      <c r="J26" s="9" t="s">
        <v>32</v>
      </c>
      <c r="K26" s="7" t="str">
        <f aca="false">IF(G26&lt;1,"Sem perfil",IF(G26&lt;3,"Bronze",IF(G26&lt;=5,"Prata","Ouro")))</f>
        <v>Bronze</v>
      </c>
      <c r="L26" s="12" t="n">
        <f aca="false">IF(G26&lt;1,0,IF(G26&lt;3,Regras!$C$5,IF(G26&lt;=5,Regras!$C$6,Regras!$C$7)))</f>
        <v>0.03</v>
      </c>
      <c r="M26" s="13" t="n">
        <f aca="false">ROUND(F26*(1-L26),2)</f>
        <v>194</v>
      </c>
      <c r="N26" s="12" t="n">
        <f aca="false">IF(OR(H26="SP",H26="RJ",H26="MG",H26="ES"),Regras!$C$9,Regras!$C$10)</f>
        <v>0.05</v>
      </c>
      <c r="O26" s="13" t="n">
        <f aca="false">ROUND(M26*N26,2)</f>
        <v>9.7</v>
      </c>
      <c r="P26" s="13" t="n">
        <f aca="false">M26+O26</f>
        <v>203.7</v>
      </c>
      <c r="Q26" s="8" t="s">
        <v>116</v>
      </c>
      <c r="R26" s="8" t="s">
        <v>117</v>
      </c>
      <c r="S26" s="14"/>
      <c r="T26" s="15"/>
    </row>
    <row r="27" customFormat="false" ht="43.25" hidden="false" customHeight="false" outlineLevel="0" collapsed="false">
      <c r="A27" s="7" t="s">
        <v>118</v>
      </c>
      <c r="B27" s="8" t="s">
        <v>119</v>
      </c>
      <c r="C27" s="8" t="s">
        <v>115</v>
      </c>
      <c r="D27" s="8" t="s">
        <v>29</v>
      </c>
      <c r="E27" s="9" t="n">
        <v>2</v>
      </c>
      <c r="F27" s="10" t="n">
        <v>200</v>
      </c>
      <c r="G27" s="11" t="n">
        <v>2</v>
      </c>
      <c r="H27" s="9" t="s">
        <v>30</v>
      </c>
      <c r="I27" s="9" t="s">
        <v>31</v>
      </c>
      <c r="J27" s="9" t="s">
        <v>67</v>
      </c>
      <c r="K27" s="7" t="str">
        <f aca="false">IF(G27&lt;1,"Sem perfil",IF(G27&lt;3,"Bronze",IF(G27&lt;=5,"Prata","Ouro")))</f>
        <v>Bronze</v>
      </c>
      <c r="L27" s="12" t="n">
        <f aca="false">IF(G27&lt;1,0,IF(G27&lt;3,Regras!$C$5,IF(G27&lt;=5,Regras!$C$6,Regras!$C$7)))</f>
        <v>0.03</v>
      </c>
      <c r="M27" s="13" t="n">
        <f aca="false">ROUND(F27*(1-L27),2)</f>
        <v>194</v>
      </c>
      <c r="N27" s="12" t="n">
        <f aca="false">IF(OR(H27="SP",H27="RJ",H27="MG",H27="ES"),Regras!$C$9,Regras!$C$10)</f>
        <v>0.05</v>
      </c>
      <c r="O27" s="13" t="n">
        <f aca="false">ROUND(M27*N27,2)</f>
        <v>9.7</v>
      </c>
      <c r="P27" s="13" t="n">
        <f aca="false">M27+O27</f>
        <v>203.7</v>
      </c>
      <c r="Q27" s="8" t="s">
        <v>120</v>
      </c>
      <c r="R27" s="8" t="s">
        <v>121</v>
      </c>
      <c r="S27" s="14"/>
      <c r="T27" s="15"/>
    </row>
    <row r="28" customFormat="false" ht="53.7" hidden="false" customHeight="false" outlineLevel="0" collapsed="false">
      <c r="A28" s="7" t="s">
        <v>122</v>
      </c>
      <c r="B28" s="8" t="s">
        <v>123</v>
      </c>
      <c r="C28" s="8" t="s">
        <v>115</v>
      </c>
      <c r="D28" s="8" t="s">
        <v>29</v>
      </c>
      <c r="E28" s="9" t="n">
        <v>2</v>
      </c>
      <c r="F28" s="10" t="n">
        <v>200</v>
      </c>
      <c r="G28" s="11" t="n">
        <v>2</v>
      </c>
      <c r="H28" s="9" t="s">
        <v>30</v>
      </c>
      <c r="I28" s="9" t="s">
        <v>63</v>
      </c>
      <c r="J28" s="9" t="s">
        <v>124</v>
      </c>
      <c r="K28" s="7" t="str">
        <f aca="false">IF(G28&lt;1,"Sem perfil",IF(G28&lt;3,"Bronze",IF(G28&lt;=5,"Prata","Ouro")))</f>
        <v>Bronze</v>
      </c>
      <c r="L28" s="12" t="n">
        <f aca="false">IF(G28&lt;1,0,IF(G28&lt;3,Regras!$C$5,IF(G28&lt;=5,Regras!$C$6,Regras!$C$7)))</f>
        <v>0.03</v>
      </c>
      <c r="M28" s="13" t="n">
        <f aca="false">ROUND(F28*(1-L28),2)</f>
        <v>194</v>
      </c>
      <c r="N28" s="12" t="n">
        <f aca="false">IF(OR(H28="SP",H28="RJ",H28="MG",H28="ES"),Regras!$C$9,Regras!$C$10)</f>
        <v>0.05</v>
      </c>
      <c r="O28" s="13" t="n">
        <f aca="false">ROUND(M28*N28,2)</f>
        <v>9.7</v>
      </c>
      <c r="P28" s="13" t="n">
        <f aca="false">M28+O28</f>
        <v>203.7</v>
      </c>
      <c r="Q28" s="8" t="s">
        <v>125</v>
      </c>
      <c r="R28" s="8" t="s">
        <v>126</v>
      </c>
      <c r="S28" s="14"/>
      <c r="T28" s="15"/>
    </row>
    <row r="29" customFormat="false" ht="22.35" hidden="false" customHeight="false" outlineLevel="0" collapsed="false">
      <c r="A29" s="7" t="s">
        <v>127</v>
      </c>
      <c r="B29" s="8" t="s">
        <v>128</v>
      </c>
      <c r="C29" s="8" t="s">
        <v>129</v>
      </c>
      <c r="D29" s="8" t="s">
        <v>130</v>
      </c>
      <c r="E29" s="9" t="s">
        <v>39</v>
      </c>
      <c r="F29" s="10" t="s">
        <v>39</v>
      </c>
      <c r="G29" s="11" t="s">
        <v>39</v>
      </c>
      <c r="H29" s="9" t="s">
        <v>39</v>
      </c>
      <c r="I29" s="9" t="s">
        <v>39</v>
      </c>
      <c r="J29" s="9" t="s">
        <v>32</v>
      </c>
      <c r="K29" s="7" t="s">
        <v>39</v>
      </c>
      <c r="L29" s="12" t="s">
        <v>39</v>
      </c>
      <c r="M29" s="13" t="s">
        <v>39</v>
      </c>
      <c r="N29" s="12" t="s">
        <v>39</v>
      </c>
      <c r="O29" s="13" t="s">
        <v>39</v>
      </c>
      <c r="P29" s="13" t="s">
        <v>39</v>
      </c>
      <c r="Q29" s="8" t="s">
        <v>131</v>
      </c>
      <c r="R29" s="8" t="s">
        <v>132</v>
      </c>
      <c r="S29" s="14"/>
      <c r="T29" s="15"/>
    </row>
    <row r="30" customFormat="false" ht="22.35" hidden="false" customHeight="false" outlineLevel="0" collapsed="false">
      <c r="A30" s="7" t="s">
        <v>133</v>
      </c>
      <c r="B30" s="8" t="s">
        <v>134</v>
      </c>
      <c r="C30" s="8" t="s">
        <v>129</v>
      </c>
      <c r="D30" s="8" t="s">
        <v>135</v>
      </c>
      <c r="E30" s="9" t="s">
        <v>39</v>
      </c>
      <c r="F30" s="10" t="s">
        <v>39</v>
      </c>
      <c r="G30" s="11" t="s">
        <v>39</v>
      </c>
      <c r="H30" s="9" t="s">
        <v>39</v>
      </c>
      <c r="I30" s="9" t="s">
        <v>39</v>
      </c>
      <c r="J30" s="9" t="s">
        <v>39</v>
      </c>
      <c r="K30" s="7" t="s">
        <v>39</v>
      </c>
      <c r="L30" s="12" t="s">
        <v>39</v>
      </c>
      <c r="M30" s="13" t="s">
        <v>39</v>
      </c>
      <c r="N30" s="12" t="s">
        <v>39</v>
      </c>
      <c r="O30" s="13" t="s">
        <v>39</v>
      </c>
      <c r="P30" s="13" t="s">
        <v>39</v>
      </c>
      <c r="Q30" s="8" t="s">
        <v>136</v>
      </c>
      <c r="R30" s="8" t="s">
        <v>137</v>
      </c>
      <c r="S30" s="14"/>
      <c r="T30" s="15"/>
    </row>
    <row r="31" customFormat="false" ht="22.35" hidden="false" customHeight="false" outlineLevel="0" collapsed="false">
      <c r="A31" s="7" t="s">
        <v>138</v>
      </c>
      <c r="B31" s="8" t="s">
        <v>139</v>
      </c>
      <c r="C31" s="8" t="s">
        <v>129</v>
      </c>
      <c r="D31" s="8" t="s">
        <v>140</v>
      </c>
      <c r="E31" s="9" t="s">
        <v>39</v>
      </c>
      <c r="F31" s="10" t="s">
        <v>39</v>
      </c>
      <c r="G31" s="11" t="s">
        <v>39</v>
      </c>
      <c r="H31" s="9" t="s">
        <v>39</v>
      </c>
      <c r="I31" s="9" t="s">
        <v>39</v>
      </c>
      <c r="J31" s="9" t="s">
        <v>39</v>
      </c>
      <c r="K31" s="7" t="s">
        <v>39</v>
      </c>
      <c r="L31" s="12" t="s">
        <v>39</v>
      </c>
      <c r="M31" s="13" t="s">
        <v>39</v>
      </c>
      <c r="N31" s="12" t="s">
        <v>39</v>
      </c>
      <c r="O31" s="13" t="s">
        <v>39</v>
      </c>
      <c r="P31" s="13" t="s">
        <v>39</v>
      </c>
      <c r="Q31" s="8" t="s">
        <v>141</v>
      </c>
      <c r="R31" s="8" t="s">
        <v>142</v>
      </c>
      <c r="S31" s="14"/>
      <c r="T31" s="15"/>
    </row>
  </sheetData>
  <mergeCells count="4">
    <mergeCell ref="A3:D3"/>
    <mergeCell ref="E3:J3"/>
    <mergeCell ref="K3:R3"/>
    <mergeCell ref="S3:T3"/>
  </mergeCells>
  <dataValidations count="1">
    <dataValidation allowBlank="true" errorStyle="stop" operator="between" showDropDown="false" showErrorMessage="false" showInputMessage="false" sqref="T5:T31" type="list">
      <formula1>"Passou,Falhou,Bloqueado,Não executado"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0"/>
  </cols>
  <sheetData>
    <row r="1" customFormat="false" ht="16.15" hidden="false" customHeight="false" outlineLevel="0" collapsed="false">
      <c r="A1" s="16" t="s">
        <v>143</v>
      </c>
    </row>
    <row r="3" customFormat="false" ht="15" hidden="false" customHeight="false" outlineLevel="0" collapsed="false">
      <c r="A3" s="6" t="s">
        <v>144</v>
      </c>
      <c r="B3" s="6" t="s">
        <v>145</v>
      </c>
      <c r="C3" s="6" t="s">
        <v>146</v>
      </c>
    </row>
    <row r="4" customFormat="false" ht="15" hidden="false" customHeight="false" outlineLevel="0" collapsed="false">
      <c r="A4" s="17" t="s">
        <v>147</v>
      </c>
      <c r="B4" s="17" t="s">
        <v>148</v>
      </c>
    </row>
    <row r="5" customFormat="false" ht="15" hidden="false" customHeight="false" outlineLevel="0" collapsed="false">
      <c r="A5" s="18" t="s">
        <v>147</v>
      </c>
      <c r="B5" s="18" t="s">
        <v>149</v>
      </c>
      <c r="C5" s="19" t="n">
        <v>0.03</v>
      </c>
    </row>
    <row r="6" customFormat="false" ht="15" hidden="false" customHeight="false" outlineLevel="0" collapsed="false">
      <c r="A6" s="18" t="s">
        <v>147</v>
      </c>
      <c r="B6" s="18" t="s">
        <v>150</v>
      </c>
      <c r="C6" s="19" t="n">
        <v>0.05</v>
      </c>
    </row>
    <row r="7" customFormat="false" ht="15" hidden="false" customHeight="false" outlineLevel="0" collapsed="false">
      <c r="A7" s="18" t="s">
        <v>147</v>
      </c>
      <c r="B7" s="18" t="s">
        <v>151</v>
      </c>
      <c r="C7" s="19" t="n">
        <v>0.1</v>
      </c>
    </row>
    <row r="8" customFormat="false" ht="15" hidden="false" customHeight="false" outlineLevel="0" collapsed="false">
      <c r="A8" s="17" t="s">
        <v>152</v>
      </c>
      <c r="B8" s="17" t="s">
        <v>153</v>
      </c>
    </row>
    <row r="9" customFormat="false" ht="15" hidden="false" customHeight="false" outlineLevel="0" collapsed="false">
      <c r="A9" s="18" t="s">
        <v>152</v>
      </c>
      <c r="B9" s="18" t="s">
        <v>154</v>
      </c>
      <c r="C9" s="19" t="n">
        <v>0.05</v>
      </c>
    </row>
    <row r="10" customFormat="false" ht="15" hidden="false" customHeight="false" outlineLevel="0" collapsed="false">
      <c r="A10" s="18" t="s">
        <v>152</v>
      </c>
      <c r="B10" s="18" t="s">
        <v>155</v>
      </c>
      <c r="C10" s="19" t="n">
        <v>0.1</v>
      </c>
    </row>
    <row r="13" customFormat="false" ht="15" hidden="false" customHeight="false" outlineLevel="0" collapsed="false">
      <c r="A13" s="20" t="s">
        <v>156</v>
      </c>
    </row>
    <row r="14" customFormat="false" ht="15" hidden="false" customHeight="false" outlineLevel="0" collapsed="false">
      <c r="A14" s="21" t="s">
        <v>157</v>
      </c>
    </row>
    <row r="15" customFormat="false" ht="15" hidden="false" customHeight="false" outlineLevel="0" collapsed="false">
      <c r="A15" s="21" t="s">
        <v>158</v>
      </c>
    </row>
    <row r="16" customFormat="false" ht="15" hidden="false" customHeight="false" outlineLevel="0" collapsed="false">
      <c r="A16" s="21" t="s">
        <v>159</v>
      </c>
    </row>
    <row r="17" customFormat="false" ht="15" hidden="false" customHeight="false" outlineLevel="0" collapsed="false">
      <c r="A17" s="21" t="s">
        <v>160</v>
      </c>
    </row>
    <row r="18" customFormat="false" ht="15" hidden="false" customHeight="false" outlineLevel="0" collapsed="false">
      <c r="A18" s="21" t="s">
        <v>161</v>
      </c>
    </row>
    <row r="19" customFormat="false" ht="15" hidden="false" customHeight="false" outlineLevel="0" collapsed="false">
      <c r="A19" s="21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36"/>
    <col collapsed="false" customWidth="true" hidden="false" outlineLevel="0" max="4" min="4" style="0" width="30"/>
    <col collapsed="false" customWidth="true" hidden="false" outlineLevel="0" max="5" min="5" style="0" width="22"/>
  </cols>
  <sheetData>
    <row r="1" customFormat="false" ht="16.15" hidden="false" customHeight="false" outlineLevel="0" collapsed="false">
      <c r="A1" s="16" t="s">
        <v>163</v>
      </c>
    </row>
    <row r="3" customFormat="false" ht="15" hidden="false" customHeight="false" outlineLevel="0" collapsed="false">
      <c r="A3" s="6" t="s">
        <v>164</v>
      </c>
      <c r="B3" s="6" t="s">
        <v>165</v>
      </c>
      <c r="C3" s="6" t="s">
        <v>166</v>
      </c>
      <c r="D3" s="6" t="s">
        <v>167</v>
      </c>
      <c r="E3" s="6" t="s">
        <v>168</v>
      </c>
    </row>
    <row r="4" customFormat="false" ht="15" hidden="false" customHeight="false" outlineLevel="0" collapsed="false">
      <c r="A4" s="22" t="s">
        <v>169</v>
      </c>
      <c r="B4" s="22" t="s">
        <v>170</v>
      </c>
      <c r="C4" s="22" t="s">
        <v>171</v>
      </c>
      <c r="D4" s="22" t="s">
        <v>172</v>
      </c>
      <c r="E4" s="22" t="s">
        <v>173</v>
      </c>
    </row>
    <row r="5" customFormat="false" ht="46.25" hidden="false" customHeight="false" outlineLevel="0" collapsed="false">
      <c r="A5" s="22" t="s">
        <v>174</v>
      </c>
      <c r="B5" s="22" t="s">
        <v>175</v>
      </c>
      <c r="C5" s="22" t="s">
        <v>176</v>
      </c>
      <c r="D5" s="22" t="s">
        <v>177</v>
      </c>
      <c r="E5" s="22" t="s">
        <v>178</v>
      </c>
    </row>
    <row r="6" customFormat="false" ht="23.85" hidden="false" customHeight="false" outlineLevel="0" collapsed="false">
      <c r="A6" s="22" t="s">
        <v>179</v>
      </c>
      <c r="B6" s="22" t="s">
        <v>180</v>
      </c>
      <c r="C6" s="22" t="s">
        <v>181</v>
      </c>
      <c r="D6" s="22" t="s">
        <v>39</v>
      </c>
      <c r="E6" s="22" t="s">
        <v>182</v>
      </c>
    </row>
    <row r="7" customFormat="false" ht="23.85" hidden="false" customHeight="false" outlineLevel="0" collapsed="false">
      <c r="A7" s="22" t="s">
        <v>183</v>
      </c>
      <c r="B7" s="22" t="s">
        <v>184</v>
      </c>
      <c r="C7" s="22" t="s">
        <v>185</v>
      </c>
      <c r="D7" s="22" t="s">
        <v>39</v>
      </c>
      <c r="E7" s="22" t="s">
        <v>186</v>
      </c>
    </row>
    <row r="8" customFormat="false" ht="23.85" hidden="false" customHeight="false" outlineLevel="0" collapsed="false">
      <c r="A8" s="22" t="s">
        <v>187</v>
      </c>
      <c r="B8" s="22" t="s">
        <v>188</v>
      </c>
      <c r="C8" s="22" t="s">
        <v>189</v>
      </c>
      <c r="D8" s="22" t="s">
        <v>190</v>
      </c>
      <c r="E8" s="22" t="s">
        <v>191</v>
      </c>
    </row>
    <row r="9" customFormat="false" ht="35.05" hidden="false" customHeight="false" outlineLevel="0" collapsed="false">
      <c r="A9" s="22" t="s">
        <v>192</v>
      </c>
      <c r="B9" s="22" t="s">
        <v>193</v>
      </c>
      <c r="C9" s="22" t="s">
        <v>194</v>
      </c>
      <c r="D9" s="22" t="s">
        <v>39</v>
      </c>
      <c r="E9" s="22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2026-10-05T23:19:25Z</dcterms:created>
  <dc:creator>openpyxl</dc:creator>
  <dc:description/>
  <dc:language>en-US</dc:language>
  <cp:lastModifiedBy/>
  <dcterms:modified xsi:type="dcterms:W3CDTF">2026-10-05T23:19:25Z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